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040"/>
  </bookViews>
  <sheets>
    <sheet name=" D &amp; R " sheetId="1" r:id="rId1"/>
    <sheet name="01" sheetId="3" r:id="rId2"/>
    <sheet name="51" sheetId="4" r:id="rId3"/>
    <sheet name="37" sheetId="5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5" l="1"/>
  <c r="H28" i="5"/>
  <c r="H27" i="5"/>
  <c r="H26" i="5"/>
  <c r="H25" i="5"/>
  <c r="H24" i="5"/>
  <c r="H23" i="5"/>
  <c r="H22" i="5"/>
  <c r="H21" i="5"/>
  <c r="H20" i="5"/>
  <c r="H19" i="5"/>
  <c r="H18" i="5"/>
  <c r="H17" i="5"/>
  <c r="H31" i="5" s="1"/>
  <c r="H33" i="5" l="1"/>
  <c r="H32" i="5"/>
  <c r="H34" i="5" s="1"/>
  <c r="H47" i="4" l="1"/>
  <c r="H46" i="4"/>
  <c r="H45" i="4"/>
  <c r="H44" i="4"/>
  <c r="H42" i="4"/>
  <c r="H43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F23" i="1" l="1"/>
  <c r="G23" i="1"/>
  <c r="H23" i="1"/>
  <c r="I23" i="1"/>
  <c r="J23" i="1"/>
  <c r="E23" i="1"/>
  <c r="G20" i="3" l="1"/>
  <c r="G19" i="3"/>
  <c r="G18" i="3"/>
  <c r="G17" i="3"/>
  <c r="G29" i="3" s="1"/>
  <c r="G30" i="3" l="1"/>
  <c r="G31" i="3"/>
  <c r="G32" i="3" s="1"/>
  <c r="G33" i="3" s="1"/>
</calcChain>
</file>

<file path=xl/sharedStrings.xml><?xml version="1.0" encoding="utf-8"?>
<sst xmlns="http://schemas.openxmlformats.org/spreadsheetml/2006/main" count="205" uniqueCount="94">
  <si>
    <t>Sr. No.</t>
  </si>
  <si>
    <t>Challan no.</t>
  </si>
  <si>
    <t xml:space="preserve">Date </t>
  </si>
  <si>
    <t>H frame</t>
  </si>
  <si>
    <t>Bracing</t>
  </si>
  <si>
    <t>Platform</t>
  </si>
  <si>
    <t>Total Material Delivered</t>
  </si>
  <si>
    <t>Statement of Material Delivered &amp; Returned</t>
  </si>
  <si>
    <t>Base Jacks</t>
  </si>
  <si>
    <t>SBUT A Wing - Murtaza Kapadia</t>
  </si>
  <si>
    <t xml:space="preserve"> </t>
  </si>
  <si>
    <t>Tax Invoice</t>
  </si>
  <si>
    <t>INVOICE No: SFE 001/SBUT/2026-2027</t>
  </si>
  <si>
    <t>Date:</t>
  </si>
  <si>
    <t>13.05.2026</t>
  </si>
  <si>
    <t>Name of Party :</t>
  </si>
  <si>
    <t>Site Adress:</t>
  </si>
  <si>
    <t>M/s. Saifee Burhani Upliftment Trust</t>
  </si>
  <si>
    <t>SBUT A-wing, Bhindi Bazaar</t>
  </si>
  <si>
    <t>3rd Floor, Al-Ezz Tower, Bhendi Bazaar, Mumbai 400003</t>
  </si>
  <si>
    <t>GSTIN: 27AAITS3160K1Z5</t>
  </si>
  <si>
    <t>Supply of Scaffolding Material On Sale.</t>
  </si>
  <si>
    <t xml:space="preserve">Sr. </t>
  </si>
  <si>
    <t>Challan No.</t>
  </si>
  <si>
    <t>Particulars</t>
  </si>
  <si>
    <t>Qty</t>
  </si>
  <si>
    <t>Rate</t>
  </si>
  <si>
    <t>Hire Period</t>
  </si>
  <si>
    <t>Amount Rs,</t>
  </si>
  <si>
    <t>No.</t>
  </si>
  <si>
    <t>&amp; Date</t>
  </si>
  <si>
    <t>31,32 &amp; 34</t>
  </si>
  <si>
    <t>H Frames</t>
  </si>
  <si>
    <t>13.05.2026 to 12.06.2026</t>
  </si>
  <si>
    <t>12.05.2026</t>
  </si>
  <si>
    <t>Bracings</t>
  </si>
  <si>
    <t>10ft Pipe</t>
  </si>
  <si>
    <t>Loading &amp; Unloading Charges 4 Labour @ Rs. 1500/- each fo 3 Trucks</t>
  </si>
  <si>
    <t>SFSEPL GSTIN: 27AANCS6797C1ZR w.e.f 01/07/2017</t>
  </si>
  <si>
    <t>Net Charges Rs.</t>
  </si>
  <si>
    <t>Amount In Words :</t>
  </si>
  <si>
    <t>CGST @ 9%</t>
  </si>
  <si>
    <t>SGST @ 9%</t>
  </si>
  <si>
    <t>Total Amount Rs.</t>
  </si>
  <si>
    <t>Say Rs..</t>
  </si>
  <si>
    <t>Steelfab Scaffoldings &amp; Engg. Pvt.Ltd.</t>
  </si>
  <si>
    <t>BANK DETAILS :-</t>
  </si>
  <si>
    <t>SteelFab Scaffoldings &amp; Engr. Pvt. Ltd.</t>
  </si>
  <si>
    <t>Bank :- HDFC Bank</t>
  </si>
  <si>
    <t>Bank Branch :  Orlem , Malad (w)</t>
  </si>
  <si>
    <t>Ac :- 50200106597981</t>
  </si>
  <si>
    <t>Authorised Signaory</t>
  </si>
  <si>
    <t>IFSC:- HDFC0000047</t>
  </si>
  <si>
    <t>Transportation @ 3Trucks Rs. 4238/- each for Delivery of Materials</t>
  </si>
  <si>
    <t>Reimbursement of Mathadi Charges Per Truck @ Rs. 7000/-</t>
  </si>
  <si>
    <t>Rupees:  One Lac Two Thousand Seven Hundred Ninety Five Only</t>
  </si>
  <si>
    <t>Plate  pipe</t>
  </si>
  <si>
    <t>Coupler</t>
  </si>
  <si>
    <t>INVOICE No: 51/SBUT/2026-2027</t>
  </si>
  <si>
    <t>01.078.2026</t>
  </si>
  <si>
    <t>Supply of Scaffolding Material On Hire</t>
  </si>
  <si>
    <t>No. of Months</t>
  </si>
  <si>
    <t>31,32 &amp; 34 12.05.2026</t>
  </si>
  <si>
    <t>01.07.2026 to 30.07.2026</t>
  </si>
  <si>
    <t>35 &amp; 15.05.26</t>
  </si>
  <si>
    <t>Plate pipe</t>
  </si>
  <si>
    <t xml:space="preserve">Base jack </t>
  </si>
  <si>
    <t>36 &amp; 19.05.26</t>
  </si>
  <si>
    <t>37 &amp; 23.05.26</t>
  </si>
  <si>
    <t>38 &amp; 04.06.26</t>
  </si>
  <si>
    <t>39 &amp; 06.06.26</t>
  </si>
  <si>
    <t xml:space="preserve"> Coupler</t>
  </si>
  <si>
    <t>06.06.26           to                  30.07.26</t>
  </si>
  <si>
    <t>45 &amp; 13.07.26</t>
  </si>
  <si>
    <t>13.07.26             to                 30.07.26</t>
  </si>
  <si>
    <t>Base jack</t>
  </si>
  <si>
    <t>46 &amp; 14.07.26</t>
  </si>
  <si>
    <t>14.07.26            to                30.07.26</t>
  </si>
  <si>
    <t>47 &amp; 15-07-26</t>
  </si>
  <si>
    <t>15.07.26             to                   30.07.26</t>
  </si>
  <si>
    <t>52 &amp; 21.07.26</t>
  </si>
  <si>
    <t>21.07.26             to                  30.07.26</t>
  </si>
  <si>
    <t>53 &amp; 22.07.26</t>
  </si>
  <si>
    <t>22.07.26             to                       30.07.26</t>
  </si>
  <si>
    <t>SFSEPL GSTIN: 27AANCS6797C1ZR. HSN: 995457</t>
  </si>
  <si>
    <t>Rupees:  One Lac Twenty Seven Thousand Seven Hundred &amp; Twenty Eight Only</t>
  </si>
  <si>
    <t>INVOICE No: 37/SBUT/2026-2027</t>
  </si>
  <si>
    <t>10.07.2026</t>
  </si>
  <si>
    <t>13.06.2026 to 30.06.2026</t>
  </si>
  <si>
    <t>15.05.2026 to 30.06.2026</t>
  </si>
  <si>
    <t>19.05.2026 to 30.06.2026</t>
  </si>
  <si>
    <t>23.05.2026 to 30.06.2026</t>
  </si>
  <si>
    <t>04.06.2026 to 30.06.2026</t>
  </si>
  <si>
    <r>
      <t xml:space="preserve">Rupees:  </t>
    </r>
    <r>
      <rPr>
        <sz val="11"/>
        <rFont val="Calibri"/>
        <family val="2"/>
        <scheme val="minor"/>
      </rPr>
      <t>Ninety Five  Thousand One Hundred &amp; Fifty Eight</t>
    </r>
    <r>
      <rPr>
        <sz val="10"/>
        <rFont val="Calibri"/>
        <family val="2"/>
        <scheme val="minor"/>
      </rPr>
      <t xml:space="preserve">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</si>
</sst>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u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Arial"/>
      <family val="2"/>
    </font>
    <font>
      <b/>
      <u/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6" fillId="0" borderId="5" xfId="0" applyFont="1" applyBorder="1"/>
    <xf numFmtId="0" fontId="5" fillId="0" borderId="4" xfId="0" applyFont="1" applyBorder="1"/>
    <xf numFmtId="14" fontId="3" fillId="0" borderId="4" xfId="0" applyNumberFormat="1" applyFont="1" applyBorder="1"/>
    <xf numFmtId="14" fontId="3" fillId="0" borderId="5" xfId="0" applyNumberFormat="1" applyFont="1" applyBorder="1"/>
    <xf numFmtId="0" fontId="7" fillId="0" borderId="7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8" xfId="0" applyFont="1" applyBorder="1"/>
    <xf numFmtId="0" fontId="7" fillId="0" borderId="6" xfId="0" applyFont="1" applyBorder="1"/>
    <xf numFmtId="0" fontId="7" fillId="0" borderId="4" xfId="0" applyFont="1" applyBorder="1"/>
    <xf numFmtId="0" fontId="3" fillId="0" borderId="5" xfId="0" applyFont="1" applyBorder="1"/>
    <xf numFmtId="0" fontId="8" fillId="0" borderId="7" xfId="0" applyFont="1" applyBorder="1" applyAlignment="1">
      <alignment horizontal="left"/>
    </xf>
    <xf numFmtId="0" fontId="3" fillId="0" borderId="7" xfId="0" applyFont="1" applyBorder="1"/>
    <xf numFmtId="0" fontId="7" fillId="0" borderId="13" xfId="0" applyFont="1" applyBorder="1" applyAlignment="1">
      <alignment horizontal="center"/>
    </xf>
    <xf numFmtId="0" fontId="7" fillId="0" borderId="3" xfId="0" applyFont="1" applyBorder="1"/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0" xfId="0" applyFont="1"/>
    <xf numFmtId="0" fontId="7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64" fontId="6" fillId="0" borderId="13" xfId="1" applyFont="1" applyFill="1" applyBorder="1" applyAlignment="1">
      <alignment horizontal="center" vertical="center"/>
    </xf>
    <xf numFmtId="164" fontId="6" fillId="0" borderId="8" xfId="1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64" fontId="6" fillId="0" borderId="14" xfId="1" applyFont="1" applyFill="1" applyBorder="1" applyAlignment="1">
      <alignment horizontal="center" vertical="center"/>
    </xf>
    <xf numFmtId="164" fontId="6" fillId="0" borderId="14" xfId="1" applyFont="1" applyFill="1" applyBorder="1" applyAlignment="1">
      <alignment horizontal="center"/>
    </xf>
    <xf numFmtId="164" fontId="6" fillId="0" borderId="8" xfId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vertical="center" wrapText="1"/>
    </xf>
    <xf numFmtId="164" fontId="3" fillId="0" borderId="1" xfId="1" applyFont="1" applyBorder="1"/>
    <xf numFmtId="164" fontId="5" fillId="0" borderId="1" xfId="1" applyFont="1" applyBorder="1"/>
    <xf numFmtId="164" fontId="3" fillId="0" borderId="1" xfId="0" applyNumberFormat="1" applyFont="1" applyBorder="1"/>
    <xf numFmtId="164" fontId="5" fillId="0" borderId="13" xfId="0" applyNumberFormat="1" applyFont="1" applyBorder="1"/>
    <xf numFmtId="0" fontId="11" fillId="0" borderId="2" xfId="0" applyFont="1" applyBorder="1" applyAlignment="1">
      <alignment horizontal="left"/>
    </xf>
    <xf numFmtId="0" fontId="6" fillId="0" borderId="3" xfId="0" applyFont="1" applyBorder="1"/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3" fillId="0" borderId="9" xfId="0" applyFont="1" applyBorder="1"/>
    <xf numFmtId="0" fontId="9" fillId="0" borderId="7" xfId="0" applyFont="1" applyBorder="1" applyAlignment="1">
      <alignment horizontal="left"/>
    </xf>
    <xf numFmtId="0" fontId="6" fillId="0" borderId="0" xfId="0" applyFont="1"/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4" fontId="6" fillId="0" borderId="14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wrapText="1"/>
    </xf>
    <xf numFmtId="164" fontId="6" fillId="0" borderId="1" xfId="1" applyFont="1" applyBorder="1" applyAlignment="1">
      <alignment horizontal="center" vertical="center"/>
    </xf>
    <xf numFmtId="14" fontId="3" fillId="0" borderId="0" xfId="0" applyNumberFormat="1" applyFont="1"/>
    <xf numFmtId="2" fontId="3" fillId="0" borderId="0" xfId="0" applyNumberFormat="1" applyFont="1"/>
    <xf numFmtId="0" fontId="6" fillId="0" borderId="1" xfId="1" applyNumberFormat="1" applyFont="1" applyFill="1" applyBorder="1" applyAlignment="1">
      <alignment horizontal="center" vertical="center"/>
    </xf>
    <xf numFmtId="164" fontId="6" fillId="0" borderId="1" xfId="1" applyFont="1" applyFill="1" applyBorder="1" applyAlignment="1">
      <alignment horizontal="center" vertical="center" wrapText="1"/>
    </xf>
    <xf numFmtId="164" fontId="6" fillId="0" borderId="14" xfId="1" applyFont="1" applyBorder="1" applyAlignment="1">
      <alignment horizontal="center" vertical="center"/>
    </xf>
    <xf numFmtId="0" fontId="6" fillId="0" borderId="8" xfId="1" applyNumberFormat="1" applyFont="1" applyFill="1" applyBorder="1" applyAlignment="1">
      <alignment horizontal="center" vertical="center"/>
    </xf>
    <xf numFmtId="0" fontId="6" fillId="0" borderId="5" xfId="1" applyNumberFormat="1" applyFont="1" applyFill="1" applyBorder="1" applyAlignment="1">
      <alignment horizontal="center" vertical="center"/>
    </xf>
    <xf numFmtId="164" fontId="6" fillId="0" borderId="13" xfId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5" fillId="0" borderId="1" xfId="0" applyNumberFormat="1" applyFont="1" applyBorder="1"/>
    <xf numFmtId="164" fontId="6" fillId="0" borderId="8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164" fontId="6" fillId="0" borderId="13" xfId="1" applyFont="1" applyFill="1" applyBorder="1" applyAlignment="1">
      <alignment horizontal="center" vertical="center" wrapText="1"/>
    </xf>
    <xf numFmtId="164" fontId="6" fillId="0" borderId="14" xfId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3" fillId="0" borderId="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64" fontId="6" fillId="0" borderId="15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J23"/>
  <sheetViews>
    <sheetView tabSelected="1" topLeftCell="A4" workbookViewId="0">
      <selection activeCell="M18" sqref="M18"/>
    </sheetView>
  </sheetViews>
  <sheetFormatPr defaultRowHeight="15" x14ac:dyDescent="0.25"/>
  <cols>
    <col min="4" max="4" width="10.7109375" bestFit="1" customWidth="1"/>
  </cols>
  <sheetData>
    <row r="7" spans="2:10" x14ac:dyDescent="0.25">
      <c r="B7" s="82" t="s">
        <v>9</v>
      </c>
      <c r="C7" s="82"/>
      <c r="D7" s="82"/>
      <c r="E7" s="82"/>
      <c r="F7" s="82"/>
      <c r="G7" s="82"/>
      <c r="H7" s="82"/>
      <c r="I7" s="82"/>
    </row>
    <row r="8" spans="2:10" x14ac:dyDescent="0.25">
      <c r="B8" s="83" t="s">
        <v>7</v>
      </c>
      <c r="C8" s="83"/>
      <c r="D8" s="83"/>
      <c r="E8" s="83"/>
      <c r="F8" s="83"/>
      <c r="G8" s="83"/>
      <c r="H8" s="83"/>
      <c r="I8" s="83"/>
    </row>
    <row r="9" spans="2:10" ht="30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56</v>
      </c>
      <c r="I9" s="1" t="s">
        <v>8</v>
      </c>
      <c r="J9" s="59" t="s">
        <v>57</v>
      </c>
    </row>
    <row r="10" spans="2:10" x14ac:dyDescent="0.25">
      <c r="B10" s="2">
        <v>1</v>
      </c>
      <c r="C10" s="2">
        <v>31</v>
      </c>
      <c r="D10" s="3">
        <v>46150</v>
      </c>
      <c r="E10" s="2">
        <v>105</v>
      </c>
      <c r="F10" s="2">
        <v>0</v>
      </c>
      <c r="G10" s="2">
        <v>10</v>
      </c>
      <c r="H10" s="2">
        <v>80</v>
      </c>
      <c r="I10" s="2">
        <v>20</v>
      </c>
      <c r="J10" s="57"/>
    </row>
    <row r="11" spans="2:10" x14ac:dyDescent="0.25">
      <c r="B11" s="2">
        <v>2</v>
      </c>
      <c r="C11" s="2">
        <v>32</v>
      </c>
      <c r="D11" s="3">
        <v>46151</v>
      </c>
      <c r="E11" s="2">
        <v>50</v>
      </c>
      <c r="F11" s="2">
        <v>200</v>
      </c>
      <c r="G11" s="2">
        <v>0</v>
      </c>
      <c r="H11" s="2">
        <v>0</v>
      </c>
      <c r="I11" s="2">
        <v>0</v>
      </c>
      <c r="J11" s="57"/>
    </row>
    <row r="12" spans="2:10" x14ac:dyDescent="0.25">
      <c r="B12" s="2">
        <v>3</v>
      </c>
      <c r="C12" s="2">
        <v>34</v>
      </c>
      <c r="D12" s="3">
        <v>46154</v>
      </c>
      <c r="E12" s="2">
        <v>105</v>
      </c>
      <c r="F12" s="2">
        <v>200</v>
      </c>
      <c r="G12" s="2">
        <v>0</v>
      </c>
      <c r="H12" s="2">
        <v>0</v>
      </c>
      <c r="I12" s="2">
        <v>8</v>
      </c>
      <c r="J12" s="57"/>
    </row>
    <row r="13" spans="2:10" x14ac:dyDescent="0.25">
      <c r="B13" s="2">
        <v>4</v>
      </c>
      <c r="C13" s="2">
        <v>35</v>
      </c>
      <c r="D13" s="3">
        <v>46157</v>
      </c>
      <c r="E13" s="2">
        <v>110</v>
      </c>
      <c r="F13" s="2">
        <v>200</v>
      </c>
      <c r="G13" s="2"/>
      <c r="H13" s="2">
        <v>20</v>
      </c>
      <c r="I13" s="2">
        <v>12</v>
      </c>
      <c r="J13" s="57"/>
    </row>
    <row r="14" spans="2:10" x14ac:dyDescent="0.25">
      <c r="B14" s="2">
        <v>5</v>
      </c>
      <c r="C14" s="2">
        <v>36</v>
      </c>
      <c r="D14" s="3">
        <v>46161</v>
      </c>
      <c r="E14" s="2">
        <v>150</v>
      </c>
      <c r="F14" s="2">
        <v>276</v>
      </c>
      <c r="G14" s="2"/>
      <c r="H14" s="2"/>
      <c r="I14" s="2"/>
      <c r="J14" s="57"/>
    </row>
    <row r="15" spans="2:10" x14ac:dyDescent="0.25">
      <c r="B15" s="2">
        <v>6</v>
      </c>
      <c r="C15" s="2">
        <v>37</v>
      </c>
      <c r="D15" s="3">
        <v>46165</v>
      </c>
      <c r="E15" s="2">
        <v>50</v>
      </c>
      <c r="F15" s="2">
        <v>96</v>
      </c>
      <c r="G15" s="2"/>
      <c r="H15" s="2"/>
      <c r="I15" s="2"/>
      <c r="J15" s="57"/>
    </row>
    <row r="16" spans="2:10" x14ac:dyDescent="0.25">
      <c r="B16" s="2">
        <v>7</v>
      </c>
      <c r="C16" s="2">
        <v>38</v>
      </c>
      <c r="D16" s="3">
        <v>46177</v>
      </c>
      <c r="E16" s="2">
        <v>40</v>
      </c>
      <c r="F16" s="2"/>
      <c r="G16" s="2"/>
      <c r="H16" s="2"/>
      <c r="I16" s="2"/>
      <c r="J16" s="57"/>
    </row>
    <row r="17" spans="2:10" x14ac:dyDescent="0.25">
      <c r="B17" s="2">
        <v>8</v>
      </c>
      <c r="C17" s="2">
        <v>39</v>
      </c>
      <c r="D17" s="3">
        <v>46179</v>
      </c>
      <c r="E17" s="2"/>
      <c r="F17" s="2"/>
      <c r="G17" s="2"/>
      <c r="H17" s="2"/>
      <c r="I17" s="2"/>
      <c r="J17" s="57">
        <v>200</v>
      </c>
    </row>
    <row r="18" spans="2:10" x14ac:dyDescent="0.25">
      <c r="B18" s="2">
        <v>9</v>
      </c>
      <c r="C18" s="2">
        <v>45</v>
      </c>
      <c r="D18" s="3">
        <v>46216</v>
      </c>
      <c r="E18" s="2">
        <v>100</v>
      </c>
      <c r="F18" s="2">
        <v>100</v>
      </c>
      <c r="G18" s="2"/>
      <c r="H18" s="2">
        <v>35</v>
      </c>
      <c r="I18" s="2">
        <v>34</v>
      </c>
      <c r="J18" s="58"/>
    </row>
    <row r="19" spans="2:10" x14ac:dyDescent="0.25">
      <c r="B19" s="2">
        <v>10</v>
      </c>
      <c r="C19" s="2">
        <v>46</v>
      </c>
      <c r="D19" s="3">
        <v>46217</v>
      </c>
      <c r="E19" s="2">
        <v>96</v>
      </c>
      <c r="F19" s="2">
        <v>150</v>
      </c>
      <c r="G19" s="2"/>
      <c r="H19" s="2"/>
      <c r="I19" s="2"/>
      <c r="J19" s="58"/>
    </row>
    <row r="20" spans="2:10" x14ac:dyDescent="0.25">
      <c r="B20" s="2">
        <v>11</v>
      </c>
      <c r="C20" s="2">
        <v>47</v>
      </c>
      <c r="D20" s="3">
        <v>46218</v>
      </c>
      <c r="E20" s="2">
        <v>150</v>
      </c>
      <c r="F20" s="2">
        <v>150</v>
      </c>
      <c r="G20" s="2"/>
      <c r="H20" s="2">
        <v>10</v>
      </c>
      <c r="I20" s="2"/>
      <c r="J20" s="58"/>
    </row>
    <row r="21" spans="2:10" x14ac:dyDescent="0.25">
      <c r="B21" s="2">
        <v>12</v>
      </c>
      <c r="C21" s="2">
        <v>52</v>
      </c>
      <c r="D21" s="3">
        <v>46224</v>
      </c>
      <c r="E21" s="2">
        <v>75</v>
      </c>
      <c r="F21" s="2">
        <v>180</v>
      </c>
      <c r="G21" s="2"/>
      <c r="H21" s="2">
        <v>50</v>
      </c>
      <c r="I21" s="2"/>
      <c r="J21" s="58"/>
    </row>
    <row r="22" spans="2:10" x14ac:dyDescent="0.25">
      <c r="B22" s="2">
        <v>13</v>
      </c>
      <c r="C22" s="2">
        <v>53</v>
      </c>
      <c r="D22" s="3">
        <v>46225</v>
      </c>
      <c r="E22" s="2"/>
      <c r="F22" s="2">
        <v>170</v>
      </c>
      <c r="G22" s="2"/>
      <c r="H22" s="2"/>
      <c r="I22" s="2"/>
      <c r="J22" s="58"/>
    </row>
    <row r="23" spans="2:10" x14ac:dyDescent="0.25">
      <c r="B23" s="82" t="s">
        <v>6</v>
      </c>
      <c r="C23" s="82"/>
      <c r="D23" s="82"/>
      <c r="E23" s="4">
        <f>SUM(E10:E22)</f>
        <v>1031</v>
      </c>
      <c r="F23" s="4">
        <f t="shared" ref="F23:J23" si="0">SUM(F10:F22)</f>
        <v>1722</v>
      </c>
      <c r="G23" s="4">
        <f t="shared" si="0"/>
        <v>10</v>
      </c>
      <c r="H23" s="4">
        <f t="shared" si="0"/>
        <v>195</v>
      </c>
      <c r="I23" s="4">
        <f t="shared" si="0"/>
        <v>74</v>
      </c>
      <c r="J23" s="4">
        <f t="shared" si="0"/>
        <v>200</v>
      </c>
    </row>
  </sheetData>
  <mergeCells count="3">
    <mergeCell ref="B23:D23"/>
    <mergeCell ref="B7:I7"/>
    <mergeCell ref="B8:I8"/>
  </mergeCells>
  <pageMargins left="0.19685039370078741" right="0.23622047244094491" top="0.74803149606299213" bottom="0.74803149606299213" header="0.31496062992125984" footer="0.31496062992125984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H38" sqref="H38"/>
    </sheetView>
  </sheetViews>
  <sheetFormatPr defaultColWidth="9.140625" defaultRowHeight="12.75" x14ac:dyDescent="0.2"/>
  <cols>
    <col min="1" max="1" width="8" style="5" customWidth="1"/>
    <col min="2" max="3" width="11.28515625" style="5" customWidth="1"/>
    <col min="4" max="4" width="14.28515625" style="5" customWidth="1"/>
    <col min="5" max="5" width="10.7109375" style="5" customWidth="1"/>
    <col min="6" max="6" width="11" style="5" customWidth="1"/>
    <col min="7" max="7" width="13.5703125" style="5" customWidth="1"/>
    <col min="8" max="16384" width="9.140625" style="5"/>
  </cols>
  <sheetData>
    <row r="1" spans="1:7" x14ac:dyDescent="0.2">
      <c r="B1" s="5" t="s">
        <v>10</v>
      </c>
    </row>
    <row r="8" spans="1:7" ht="21" x14ac:dyDescent="0.35">
      <c r="A8" s="84" t="s">
        <v>11</v>
      </c>
      <c r="B8" s="85"/>
      <c r="C8" s="85"/>
      <c r="D8" s="85"/>
      <c r="E8" s="86"/>
      <c r="F8" s="86"/>
      <c r="G8" s="87"/>
    </row>
    <row r="9" spans="1:7" x14ac:dyDescent="0.2">
      <c r="A9" s="6" t="s">
        <v>12</v>
      </c>
      <c r="B9" s="7"/>
      <c r="C9" s="7"/>
      <c r="D9" s="8"/>
      <c r="E9" s="9" t="s">
        <v>13</v>
      </c>
      <c r="F9" s="10" t="s">
        <v>14</v>
      </c>
      <c r="G9" s="11"/>
    </row>
    <row r="10" spans="1:7" x14ac:dyDescent="0.2">
      <c r="A10" s="12" t="s">
        <v>15</v>
      </c>
      <c r="B10" s="13"/>
      <c r="C10" s="13"/>
      <c r="D10" s="14"/>
      <c r="E10" s="15" t="s">
        <v>16</v>
      </c>
      <c r="F10" s="16"/>
      <c r="G10" s="17"/>
    </row>
    <row r="11" spans="1:7" x14ac:dyDescent="0.2">
      <c r="A11" s="18" t="s">
        <v>17</v>
      </c>
      <c r="B11" s="13"/>
      <c r="C11" s="13"/>
      <c r="D11" s="14"/>
      <c r="E11" s="88" t="s">
        <v>18</v>
      </c>
      <c r="F11" s="89"/>
      <c r="G11" s="90"/>
    </row>
    <row r="12" spans="1:7" ht="12.75" customHeight="1" x14ac:dyDescent="0.2">
      <c r="A12" s="19" t="s">
        <v>19</v>
      </c>
      <c r="D12" s="14"/>
      <c r="E12" s="91"/>
      <c r="F12" s="92"/>
      <c r="G12" s="93"/>
    </row>
    <row r="13" spans="1:7" ht="15.75" customHeight="1" x14ac:dyDescent="0.2">
      <c r="A13" s="19" t="s">
        <v>20</v>
      </c>
      <c r="D13" s="14"/>
      <c r="E13" s="94"/>
      <c r="F13" s="95"/>
      <c r="G13" s="96"/>
    </row>
    <row r="14" spans="1:7" ht="15" x14ac:dyDescent="0.25">
      <c r="A14" s="97" t="s">
        <v>21</v>
      </c>
      <c r="B14" s="98"/>
      <c r="C14" s="98"/>
      <c r="D14" s="98"/>
      <c r="E14" s="98"/>
      <c r="F14" s="98"/>
      <c r="G14" s="99"/>
    </row>
    <row r="15" spans="1:7" x14ac:dyDescent="0.2">
      <c r="A15" s="20" t="s">
        <v>22</v>
      </c>
      <c r="B15" s="21" t="s">
        <v>23</v>
      </c>
      <c r="C15" s="22" t="s">
        <v>24</v>
      </c>
      <c r="D15" s="20" t="s">
        <v>25</v>
      </c>
      <c r="E15" s="100" t="s">
        <v>26</v>
      </c>
      <c r="F15" s="102" t="s">
        <v>27</v>
      </c>
      <c r="G15" s="100" t="s">
        <v>28</v>
      </c>
    </row>
    <row r="16" spans="1:7" x14ac:dyDescent="0.2">
      <c r="A16" s="23" t="s">
        <v>29</v>
      </c>
      <c r="B16" s="24" t="s">
        <v>30</v>
      </c>
      <c r="C16" s="25"/>
      <c r="D16" s="23"/>
      <c r="E16" s="101"/>
      <c r="F16" s="103"/>
      <c r="G16" s="104"/>
    </row>
    <row r="17" spans="1:7" x14ac:dyDescent="0.2">
      <c r="A17" s="26">
        <v>1</v>
      </c>
      <c r="B17" s="27" t="s">
        <v>31</v>
      </c>
      <c r="C17" s="28" t="s">
        <v>32</v>
      </c>
      <c r="D17" s="29">
        <v>260</v>
      </c>
      <c r="E17" s="30">
        <v>55</v>
      </c>
      <c r="F17" s="105" t="s">
        <v>33</v>
      </c>
      <c r="G17" s="31">
        <f>+D17*E17</f>
        <v>14300</v>
      </c>
    </row>
    <row r="18" spans="1:7" x14ac:dyDescent="0.2">
      <c r="A18" s="32"/>
      <c r="B18" s="33" t="s">
        <v>34</v>
      </c>
      <c r="C18" s="34" t="s">
        <v>35</v>
      </c>
      <c r="D18" s="35">
        <v>400</v>
      </c>
      <c r="E18" s="36">
        <v>40</v>
      </c>
      <c r="F18" s="106"/>
      <c r="G18" s="31">
        <f t="shared" ref="G18:G20" si="0">+D18*E18</f>
        <v>16000</v>
      </c>
    </row>
    <row r="19" spans="1:7" x14ac:dyDescent="0.2">
      <c r="A19" s="32"/>
      <c r="B19" s="33"/>
      <c r="C19" s="34" t="s">
        <v>36</v>
      </c>
      <c r="D19" s="35">
        <v>80</v>
      </c>
      <c r="E19" s="36">
        <v>55</v>
      </c>
      <c r="F19" s="106"/>
      <c r="G19" s="31">
        <f t="shared" si="0"/>
        <v>4400</v>
      </c>
    </row>
    <row r="20" spans="1:7" x14ac:dyDescent="0.2">
      <c r="A20" s="32"/>
      <c r="B20" s="33"/>
      <c r="C20" s="34" t="s">
        <v>8</v>
      </c>
      <c r="D20" s="35">
        <v>28</v>
      </c>
      <c r="E20" s="36">
        <v>25</v>
      </c>
      <c r="F20" s="106"/>
      <c r="G20" s="31">
        <f t="shared" si="0"/>
        <v>700</v>
      </c>
    </row>
    <row r="21" spans="1:7" x14ac:dyDescent="0.2">
      <c r="A21" s="32"/>
      <c r="B21" s="33"/>
      <c r="C21" s="33"/>
      <c r="D21" s="34"/>
      <c r="E21" s="35"/>
      <c r="F21" s="36"/>
      <c r="G21" s="31"/>
    </row>
    <row r="22" spans="1:7" x14ac:dyDescent="0.2">
      <c r="A22" s="107" t="s">
        <v>54</v>
      </c>
      <c r="B22" s="108"/>
      <c r="C22" s="108"/>
      <c r="D22" s="108"/>
      <c r="E22" s="108"/>
      <c r="F22" s="109"/>
      <c r="G22" s="31">
        <v>21000</v>
      </c>
    </row>
    <row r="23" spans="1:7" x14ac:dyDescent="0.2">
      <c r="A23" s="107" t="s">
        <v>37</v>
      </c>
      <c r="B23" s="108"/>
      <c r="C23" s="108"/>
      <c r="D23" s="108"/>
      <c r="E23" s="108"/>
      <c r="F23" s="109"/>
      <c r="G23" s="31">
        <v>18000</v>
      </c>
    </row>
    <row r="24" spans="1:7" x14ac:dyDescent="0.2">
      <c r="A24" s="107" t="s">
        <v>53</v>
      </c>
      <c r="B24" s="108"/>
      <c r="C24" s="108"/>
      <c r="D24" s="108"/>
      <c r="E24" s="108"/>
      <c r="F24" s="109"/>
      <c r="G24" s="31">
        <v>12714</v>
      </c>
    </row>
    <row r="25" spans="1:7" x14ac:dyDescent="0.2">
      <c r="A25" s="32"/>
      <c r="B25" s="33"/>
      <c r="C25" s="33"/>
      <c r="D25" s="34"/>
      <c r="E25" s="35"/>
      <c r="F25" s="36"/>
      <c r="G25" s="31"/>
    </row>
    <row r="26" spans="1:7" x14ac:dyDescent="0.2">
      <c r="A26" s="32"/>
      <c r="B26" s="33"/>
      <c r="C26" s="33"/>
      <c r="D26" s="34"/>
      <c r="E26" s="35"/>
      <c r="F26" s="36"/>
      <c r="G26" s="31"/>
    </row>
    <row r="27" spans="1:7" x14ac:dyDescent="0.2">
      <c r="A27" s="32"/>
      <c r="B27" s="33"/>
      <c r="C27" s="33"/>
      <c r="D27" s="35"/>
      <c r="E27" s="32"/>
      <c r="F27" s="37"/>
      <c r="G27" s="38"/>
    </row>
    <row r="28" spans="1:7" x14ac:dyDescent="0.2">
      <c r="A28" s="39"/>
      <c r="B28" s="40"/>
      <c r="C28" s="33"/>
      <c r="D28" s="35"/>
      <c r="E28" s="32"/>
      <c r="F28" s="37"/>
      <c r="G28" s="38"/>
    </row>
    <row r="29" spans="1:7" ht="12.75" customHeight="1" x14ac:dyDescent="0.2">
      <c r="A29" s="110" t="s">
        <v>38</v>
      </c>
      <c r="B29" s="111"/>
      <c r="C29" s="111"/>
      <c r="D29" s="112"/>
      <c r="E29" s="113" t="s">
        <v>39</v>
      </c>
      <c r="F29" s="114"/>
      <c r="G29" s="41">
        <f>SUM(G17:G28)</f>
        <v>87114</v>
      </c>
    </row>
    <row r="30" spans="1:7" x14ac:dyDescent="0.2">
      <c r="A30" s="115" t="s">
        <v>40</v>
      </c>
      <c r="B30" s="116"/>
      <c r="C30" s="116"/>
      <c r="D30" s="117"/>
      <c r="E30" s="118" t="s">
        <v>41</v>
      </c>
      <c r="F30" s="119"/>
      <c r="G30" s="42">
        <f>+G29*0.09</f>
        <v>7840.2599999999993</v>
      </c>
    </row>
    <row r="31" spans="1:7" x14ac:dyDescent="0.2">
      <c r="A31" s="88" t="s">
        <v>55</v>
      </c>
      <c r="B31" s="89"/>
      <c r="C31" s="89"/>
      <c r="D31" s="90"/>
      <c r="E31" s="120" t="s">
        <v>42</v>
      </c>
      <c r="F31" s="121"/>
      <c r="G31" s="41">
        <f>+G29*0.09</f>
        <v>7840.2599999999993</v>
      </c>
    </row>
    <row r="32" spans="1:7" x14ac:dyDescent="0.2">
      <c r="A32" s="91"/>
      <c r="B32" s="92"/>
      <c r="C32" s="92"/>
      <c r="D32" s="93"/>
      <c r="E32" s="120" t="s">
        <v>43</v>
      </c>
      <c r="F32" s="121"/>
      <c r="G32" s="43">
        <f>+SUM(G29:G31)</f>
        <v>102794.51999999999</v>
      </c>
    </row>
    <row r="33" spans="1:7" x14ac:dyDescent="0.2">
      <c r="A33" s="94"/>
      <c r="B33" s="95"/>
      <c r="C33" s="95"/>
      <c r="D33" s="96"/>
      <c r="E33" s="122" t="s">
        <v>44</v>
      </c>
      <c r="F33" s="123"/>
      <c r="G33" s="44">
        <f>+ROUND(G32,0)</f>
        <v>102795</v>
      </c>
    </row>
    <row r="34" spans="1:7" ht="15.75" customHeight="1" x14ac:dyDescent="0.2">
      <c r="A34" s="45" t="s">
        <v>45</v>
      </c>
      <c r="B34" s="46"/>
      <c r="C34" s="46"/>
      <c r="D34" s="47"/>
      <c r="E34" s="48"/>
      <c r="F34" s="46"/>
      <c r="G34" s="49"/>
    </row>
    <row r="35" spans="1:7" x14ac:dyDescent="0.2">
      <c r="A35" s="50"/>
      <c r="B35" s="51"/>
      <c r="C35" s="51"/>
      <c r="D35" s="52"/>
      <c r="E35" s="53" t="s">
        <v>46</v>
      </c>
      <c r="F35" s="51"/>
      <c r="G35" s="14"/>
    </row>
    <row r="36" spans="1:7" x14ac:dyDescent="0.2">
      <c r="A36" s="19"/>
      <c r="D36" s="14"/>
      <c r="E36" s="19" t="s">
        <v>47</v>
      </c>
      <c r="G36" s="14"/>
    </row>
    <row r="37" spans="1:7" x14ac:dyDescent="0.2">
      <c r="A37" s="19"/>
      <c r="D37" s="14"/>
      <c r="E37" s="19" t="s">
        <v>48</v>
      </c>
      <c r="G37" s="14"/>
    </row>
    <row r="38" spans="1:7" x14ac:dyDescent="0.2">
      <c r="A38" s="19"/>
      <c r="D38" s="14"/>
      <c r="E38" s="19" t="s">
        <v>49</v>
      </c>
      <c r="G38" s="14"/>
    </row>
    <row r="39" spans="1:7" x14ac:dyDescent="0.2">
      <c r="A39" s="19"/>
      <c r="D39" s="14"/>
      <c r="E39" s="19" t="s">
        <v>50</v>
      </c>
      <c r="G39" s="14"/>
    </row>
    <row r="40" spans="1:7" x14ac:dyDescent="0.2">
      <c r="A40" s="54" t="s">
        <v>51</v>
      </c>
      <c r="B40" s="55"/>
      <c r="C40" s="55"/>
      <c r="D40" s="56"/>
      <c r="E40" s="54" t="s">
        <v>52</v>
      </c>
      <c r="F40" s="55"/>
      <c r="G40" s="56"/>
    </row>
  </sheetData>
  <mergeCells count="18">
    <mergeCell ref="A30:D30"/>
    <mergeCell ref="E30:F30"/>
    <mergeCell ref="A31:D33"/>
    <mergeCell ref="E31:F31"/>
    <mergeCell ref="E32:F32"/>
    <mergeCell ref="E33:F33"/>
    <mergeCell ref="F17:F20"/>
    <mergeCell ref="A22:F22"/>
    <mergeCell ref="A23:F23"/>
    <mergeCell ref="A24:F24"/>
    <mergeCell ref="A29:D29"/>
    <mergeCell ref="E29:F29"/>
    <mergeCell ref="A8:G8"/>
    <mergeCell ref="E11:G13"/>
    <mergeCell ref="A14:G14"/>
    <mergeCell ref="E15:E16"/>
    <mergeCell ref="F15:F16"/>
    <mergeCell ref="G15:G16"/>
  </mergeCells>
  <pageMargins left="0.78740157480314965" right="0.70866141732283472" top="0.59055118110236227" bottom="0.59055118110236227" header="0.31496062992125984" footer="0.31496062992125984"/>
  <pageSetup scale="1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28" workbookViewId="0">
      <selection activeCell="I30" sqref="I30:K43"/>
    </sheetView>
  </sheetViews>
  <sheetFormatPr defaultColWidth="9.140625" defaultRowHeight="12.75" x14ac:dyDescent="0.2"/>
  <cols>
    <col min="1" max="1" width="8" style="5" customWidth="1"/>
    <col min="2" max="3" width="11.28515625" style="5" customWidth="1"/>
    <col min="4" max="4" width="14.28515625" style="5" customWidth="1"/>
    <col min="5" max="5" width="10.7109375" style="5" customWidth="1"/>
    <col min="6" max="6" width="11" style="5" customWidth="1"/>
    <col min="7" max="7" width="7.42578125" style="5" bestFit="1" customWidth="1"/>
    <col min="8" max="8" width="13.5703125" style="5" customWidth="1"/>
    <col min="9" max="9" width="10.140625" style="5" bestFit="1" customWidth="1"/>
    <col min="10" max="12" width="10.42578125" style="5" bestFit="1" customWidth="1"/>
    <col min="13" max="16384" width="9.140625" style="5"/>
  </cols>
  <sheetData>
    <row r="1" spans="1:8" x14ac:dyDescent="0.2">
      <c r="B1" s="5" t="s">
        <v>10</v>
      </c>
    </row>
    <row r="8" spans="1:8" ht="21" x14ac:dyDescent="0.35">
      <c r="A8" s="84" t="s">
        <v>11</v>
      </c>
      <c r="B8" s="85"/>
      <c r="C8" s="85"/>
      <c r="D8" s="85"/>
      <c r="E8" s="86"/>
      <c r="F8" s="86"/>
      <c r="G8" s="86"/>
      <c r="H8" s="87"/>
    </row>
    <row r="9" spans="1:8" x14ac:dyDescent="0.2">
      <c r="A9" s="6" t="s">
        <v>58</v>
      </c>
      <c r="B9" s="7"/>
      <c r="C9" s="7"/>
      <c r="D9" s="8"/>
      <c r="E9" s="9" t="s">
        <v>13</v>
      </c>
      <c r="F9" s="10" t="s">
        <v>59</v>
      </c>
      <c r="G9" s="10"/>
      <c r="H9" s="11"/>
    </row>
    <row r="10" spans="1:8" x14ac:dyDescent="0.2">
      <c r="A10" s="12" t="s">
        <v>15</v>
      </c>
      <c r="B10" s="13"/>
      <c r="C10" s="13"/>
      <c r="D10" s="14"/>
      <c r="E10" s="15" t="s">
        <v>16</v>
      </c>
      <c r="F10" s="16"/>
      <c r="G10" s="16"/>
      <c r="H10" s="17"/>
    </row>
    <row r="11" spans="1:8" x14ac:dyDescent="0.2">
      <c r="A11" s="18" t="s">
        <v>17</v>
      </c>
      <c r="B11" s="13"/>
      <c r="C11" s="13"/>
      <c r="D11" s="14"/>
      <c r="E11" s="130" t="s">
        <v>18</v>
      </c>
      <c r="F11" s="131"/>
      <c r="G11" s="131"/>
      <c r="H11" s="132"/>
    </row>
    <row r="12" spans="1:8" x14ac:dyDescent="0.2">
      <c r="A12" s="19" t="s">
        <v>19</v>
      </c>
      <c r="D12" s="14"/>
      <c r="E12" s="133"/>
      <c r="F12" s="134"/>
      <c r="G12" s="134"/>
      <c r="H12" s="135"/>
    </row>
    <row r="13" spans="1:8" x14ac:dyDescent="0.2">
      <c r="A13" s="19" t="s">
        <v>20</v>
      </c>
      <c r="D13" s="14"/>
      <c r="E13" s="146"/>
      <c r="F13" s="147"/>
      <c r="G13" s="147"/>
      <c r="H13" s="148"/>
    </row>
    <row r="14" spans="1:8" ht="15" x14ac:dyDescent="0.25">
      <c r="A14" s="97" t="s">
        <v>60</v>
      </c>
      <c r="B14" s="98"/>
      <c r="C14" s="98"/>
      <c r="D14" s="98"/>
      <c r="E14" s="98"/>
      <c r="F14" s="98"/>
      <c r="G14" s="98"/>
      <c r="H14" s="99"/>
    </row>
    <row r="15" spans="1:8" x14ac:dyDescent="0.2">
      <c r="A15" s="22" t="s">
        <v>22</v>
      </c>
      <c r="B15" s="63" t="s">
        <v>23</v>
      </c>
      <c r="C15" s="22" t="s">
        <v>24</v>
      </c>
      <c r="D15" s="60" t="s">
        <v>25</v>
      </c>
      <c r="E15" s="149" t="s">
        <v>26</v>
      </c>
      <c r="F15" s="151" t="s">
        <v>27</v>
      </c>
      <c r="G15" s="151" t="s">
        <v>61</v>
      </c>
      <c r="H15" s="149" t="s">
        <v>28</v>
      </c>
    </row>
    <row r="16" spans="1:8" x14ac:dyDescent="0.2">
      <c r="A16" s="25" t="s">
        <v>29</v>
      </c>
      <c r="B16" s="64" t="s">
        <v>30</v>
      </c>
      <c r="C16" s="25"/>
      <c r="D16" s="61"/>
      <c r="E16" s="150"/>
      <c r="F16" s="152"/>
      <c r="G16" s="153"/>
      <c r="H16" s="154"/>
    </row>
    <row r="17" spans="1:12" x14ac:dyDescent="0.2">
      <c r="A17" s="141">
        <v>1</v>
      </c>
      <c r="B17" s="142" t="s">
        <v>62</v>
      </c>
      <c r="C17" s="65" t="s">
        <v>32</v>
      </c>
      <c r="D17" s="66">
        <v>260</v>
      </c>
      <c r="E17" s="67">
        <v>55</v>
      </c>
      <c r="F17" s="143" t="s">
        <v>63</v>
      </c>
      <c r="G17" s="68">
        <v>1</v>
      </c>
      <c r="H17" s="69">
        <f>+D17*E17*G17</f>
        <v>14300</v>
      </c>
    </row>
    <row r="18" spans="1:12" x14ac:dyDescent="0.2">
      <c r="A18" s="141"/>
      <c r="B18" s="142"/>
      <c r="C18" s="65" t="s">
        <v>35</v>
      </c>
      <c r="D18" s="66">
        <v>400</v>
      </c>
      <c r="E18" s="67">
        <v>40</v>
      </c>
      <c r="F18" s="143"/>
      <c r="G18" s="68">
        <v>1</v>
      </c>
      <c r="H18" s="69">
        <f t="shared" ref="H18:H20" si="0">+D18*E18*G18</f>
        <v>16000</v>
      </c>
      <c r="J18" s="70"/>
      <c r="K18" s="70"/>
      <c r="L18" s="71"/>
    </row>
    <row r="19" spans="1:12" x14ac:dyDescent="0.2">
      <c r="A19" s="141"/>
      <c r="B19" s="142"/>
      <c r="C19" s="65" t="s">
        <v>36</v>
      </c>
      <c r="D19" s="66">
        <v>80</v>
      </c>
      <c r="E19" s="67">
        <v>55</v>
      </c>
      <c r="F19" s="143"/>
      <c r="G19" s="68">
        <v>1</v>
      </c>
      <c r="H19" s="69">
        <f t="shared" si="0"/>
        <v>4400</v>
      </c>
    </row>
    <row r="20" spans="1:12" x14ac:dyDescent="0.2">
      <c r="A20" s="141"/>
      <c r="B20" s="142"/>
      <c r="C20" s="65" t="s">
        <v>8</v>
      </c>
      <c r="D20" s="66">
        <v>28</v>
      </c>
      <c r="E20" s="67">
        <v>25</v>
      </c>
      <c r="F20" s="143"/>
      <c r="G20" s="68">
        <v>1</v>
      </c>
      <c r="H20" s="69">
        <f t="shared" si="0"/>
        <v>700</v>
      </c>
    </row>
    <row r="21" spans="1:12" ht="12.75" customHeight="1" x14ac:dyDescent="0.2">
      <c r="A21" s="141">
        <v>2</v>
      </c>
      <c r="B21" s="142" t="s">
        <v>64</v>
      </c>
      <c r="C21" s="65" t="s">
        <v>3</v>
      </c>
      <c r="D21" s="66">
        <v>110</v>
      </c>
      <c r="E21" s="67">
        <v>55</v>
      </c>
      <c r="F21" s="143" t="s">
        <v>63</v>
      </c>
      <c r="G21" s="68">
        <v>1</v>
      </c>
      <c r="H21" s="69">
        <f t="shared" ref="H21:H39" si="1">SUM(D21*E21*G21)</f>
        <v>6050</v>
      </c>
      <c r="J21" s="70"/>
      <c r="K21" s="70"/>
      <c r="L21" s="71"/>
    </row>
    <row r="22" spans="1:12" x14ac:dyDescent="0.2">
      <c r="A22" s="141"/>
      <c r="B22" s="142"/>
      <c r="C22" s="65" t="s">
        <v>4</v>
      </c>
      <c r="D22" s="66">
        <v>200</v>
      </c>
      <c r="E22" s="67">
        <v>40</v>
      </c>
      <c r="F22" s="143"/>
      <c r="G22" s="68">
        <v>1</v>
      </c>
      <c r="H22" s="69">
        <f t="shared" si="1"/>
        <v>8000</v>
      </c>
    </row>
    <row r="23" spans="1:12" x14ac:dyDescent="0.2">
      <c r="A23" s="141"/>
      <c r="B23" s="142"/>
      <c r="C23" s="65" t="s">
        <v>65</v>
      </c>
      <c r="D23" s="66">
        <v>20</v>
      </c>
      <c r="E23" s="67">
        <v>55</v>
      </c>
      <c r="F23" s="143"/>
      <c r="G23" s="68">
        <v>1</v>
      </c>
      <c r="H23" s="69">
        <f t="shared" si="1"/>
        <v>1100</v>
      </c>
    </row>
    <row r="24" spans="1:12" x14ac:dyDescent="0.2">
      <c r="A24" s="141"/>
      <c r="B24" s="142"/>
      <c r="C24" s="65" t="s">
        <v>66</v>
      </c>
      <c r="D24" s="66">
        <v>12</v>
      </c>
      <c r="E24" s="67">
        <v>25</v>
      </c>
      <c r="F24" s="143"/>
      <c r="G24" s="68">
        <v>1</v>
      </c>
      <c r="H24" s="69">
        <f t="shared" si="1"/>
        <v>300</v>
      </c>
    </row>
    <row r="25" spans="1:12" x14ac:dyDescent="0.2">
      <c r="A25" s="141">
        <v>3</v>
      </c>
      <c r="B25" s="142" t="s">
        <v>67</v>
      </c>
      <c r="C25" s="65" t="s">
        <v>3</v>
      </c>
      <c r="D25" s="65">
        <v>150</v>
      </c>
      <c r="E25" s="69">
        <v>55</v>
      </c>
      <c r="F25" s="105" t="s">
        <v>63</v>
      </c>
      <c r="G25" s="72">
        <v>1</v>
      </c>
      <c r="H25" s="69">
        <f t="shared" si="1"/>
        <v>8250</v>
      </c>
      <c r="J25" s="70"/>
      <c r="K25" s="70"/>
      <c r="L25" s="71"/>
    </row>
    <row r="26" spans="1:12" ht="27.75" customHeight="1" x14ac:dyDescent="0.2">
      <c r="A26" s="141"/>
      <c r="B26" s="142"/>
      <c r="C26" s="65" t="s">
        <v>4</v>
      </c>
      <c r="D26" s="65">
        <v>276</v>
      </c>
      <c r="E26" s="69">
        <v>40</v>
      </c>
      <c r="F26" s="140"/>
      <c r="G26" s="72">
        <v>1</v>
      </c>
      <c r="H26" s="69">
        <f t="shared" si="1"/>
        <v>11040</v>
      </c>
    </row>
    <row r="27" spans="1:12" ht="25.5" customHeight="1" x14ac:dyDescent="0.2">
      <c r="A27" s="141">
        <v>4</v>
      </c>
      <c r="B27" s="142" t="s">
        <v>68</v>
      </c>
      <c r="C27" s="65" t="s">
        <v>3</v>
      </c>
      <c r="D27" s="65">
        <v>50</v>
      </c>
      <c r="E27" s="69">
        <v>55</v>
      </c>
      <c r="F27" s="105" t="s">
        <v>63</v>
      </c>
      <c r="G27" s="72">
        <v>1</v>
      </c>
      <c r="H27" s="69">
        <f t="shared" si="1"/>
        <v>2750</v>
      </c>
      <c r="J27" s="70"/>
      <c r="K27" s="70"/>
      <c r="L27" s="71"/>
    </row>
    <row r="28" spans="1:12" x14ac:dyDescent="0.2">
      <c r="A28" s="141"/>
      <c r="B28" s="142"/>
      <c r="C28" s="65" t="s">
        <v>4</v>
      </c>
      <c r="D28" s="65">
        <v>96</v>
      </c>
      <c r="E28" s="69">
        <v>40</v>
      </c>
      <c r="F28" s="140"/>
      <c r="G28" s="72">
        <v>1</v>
      </c>
      <c r="H28" s="69">
        <f t="shared" si="1"/>
        <v>3840</v>
      </c>
    </row>
    <row r="29" spans="1:12" ht="38.25" x14ac:dyDescent="0.2">
      <c r="A29" s="66">
        <v>5</v>
      </c>
      <c r="B29" s="65" t="s">
        <v>69</v>
      </c>
      <c r="C29" s="65" t="s">
        <v>3</v>
      </c>
      <c r="D29" s="65">
        <v>40</v>
      </c>
      <c r="E29" s="69">
        <v>55</v>
      </c>
      <c r="F29" s="73" t="s">
        <v>63</v>
      </c>
      <c r="G29" s="72">
        <v>1</v>
      </c>
      <c r="H29" s="69">
        <f t="shared" si="1"/>
        <v>2200</v>
      </c>
      <c r="J29" s="70"/>
      <c r="K29" s="70"/>
      <c r="L29" s="71"/>
    </row>
    <row r="30" spans="1:12" ht="38.25" x14ac:dyDescent="0.2">
      <c r="A30" s="35">
        <v>6</v>
      </c>
      <c r="B30" s="34" t="s">
        <v>70</v>
      </c>
      <c r="C30" s="34" t="s">
        <v>71</v>
      </c>
      <c r="D30" s="34">
        <v>200</v>
      </c>
      <c r="E30" s="74">
        <v>8.5</v>
      </c>
      <c r="F30" s="62" t="s">
        <v>72</v>
      </c>
      <c r="G30" s="75">
        <v>1.8</v>
      </c>
      <c r="H30" s="31">
        <f t="shared" si="1"/>
        <v>3060</v>
      </c>
      <c r="I30" s="70"/>
      <c r="J30" s="70"/>
      <c r="K30" s="71"/>
      <c r="L30" s="71"/>
    </row>
    <row r="31" spans="1:12" x14ac:dyDescent="0.2">
      <c r="A31" s="141">
        <v>7</v>
      </c>
      <c r="B31" s="142" t="s">
        <v>73</v>
      </c>
      <c r="C31" s="65" t="s">
        <v>3</v>
      </c>
      <c r="D31" s="65">
        <v>100</v>
      </c>
      <c r="E31" s="69">
        <v>55</v>
      </c>
      <c r="F31" s="143" t="s">
        <v>74</v>
      </c>
      <c r="G31" s="72">
        <v>0.56999999999999995</v>
      </c>
      <c r="H31" s="69">
        <f t="shared" si="1"/>
        <v>3134.9999999999995</v>
      </c>
      <c r="I31" s="70"/>
      <c r="J31" s="70"/>
      <c r="K31" s="71"/>
      <c r="L31" s="71"/>
    </row>
    <row r="32" spans="1:12" x14ac:dyDescent="0.2">
      <c r="A32" s="141"/>
      <c r="B32" s="142"/>
      <c r="C32" s="65" t="s">
        <v>4</v>
      </c>
      <c r="D32" s="65">
        <v>100</v>
      </c>
      <c r="E32" s="69">
        <v>40</v>
      </c>
      <c r="F32" s="143"/>
      <c r="G32" s="72">
        <v>0.56999999999999995</v>
      </c>
      <c r="H32" s="69">
        <f t="shared" si="1"/>
        <v>2280</v>
      </c>
      <c r="J32" s="70"/>
      <c r="K32" s="70"/>
      <c r="L32" s="71"/>
    </row>
    <row r="33" spans="1:12" x14ac:dyDescent="0.2">
      <c r="A33" s="141"/>
      <c r="B33" s="142"/>
      <c r="C33" s="65" t="s">
        <v>65</v>
      </c>
      <c r="D33" s="65">
        <v>35</v>
      </c>
      <c r="E33" s="69">
        <v>55</v>
      </c>
      <c r="F33" s="143"/>
      <c r="G33" s="72">
        <v>0.56999999999999995</v>
      </c>
      <c r="H33" s="69">
        <f t="shared" si="1"/>
        <v>1097.25</v>
      </c>
      <c r="J33" s="70"/>
      <c r="K33" s="70"/>
      <c r="L33" s="71"/>
    </row>
    <row r="34" spans="1:12" x14ac:dyDescent="0.2">
      <c r="A34" s="141"/>
      <c r="B34" s="142"/>
      <c r="C34" s="65" t="s">
        <v>75</v>
      </c>
      <c r="D34" s="65">
        <v>34</v>
      </c>
      <c r="E34" s="69">
        <v>25</v>
      </c>
      <c r="F34" s="143"/>
      <c r="G34" s="72">
        <v>0.56999999999999995</v>
      </c>
      <c r="H34" s="69">
        <f t="shared" si="1"/>
        <v>484.49999999999994</v>
      </c>
      <c r="J34" s="70"/>
      <c r="K34" s="70"/>
      <c r="L34" s="71"/>
    </row>
    <row r="35" spans="1:12" x14ac:dyDescent="0.2">
      <c r="A35" s="136">
        <v>8</v>
      </c>
      <c r="B35" s="138" t="s">
        <v>76</v>
      </c>
      <c r="C35" s="65" t="s">
        <v>3</v>
      </c>
      <c r="D35" s="65">
        <v>96</v>
      </c>
      <c r="E35" s="69">
        <v>55</v>
      </c>
      <c r="F35" s="143" t="s">
        <v>77</v>
      </c>
      <c r="G35" s="76">
        <v>0.53</v>
      </c>
      <c r="H35" s="69">
        <f t="shared" si="1"/>
        <v>2798.4</v>
      </c>
      <c r="I35" s="70"/>
      <c r="J35" s="70"/>
      <c r="K35" s="71"/>
      <c r="L35" s="71"/>
    </row>
    <row r="36" spans="1:12" ht="30" customHeight="1" x14ac:dyDescent="0.2">
      <c r="A36" s="144"/>
      <c r="B36" s="145"/>
      <c r="C36" s="65" t="s">
        <v>4</v>
      </c>
      <c r="D36" s="28">
        <v>150</v>
      </c>
      <c r="E36" s="77">
        <v>40</v>
      </c>
      <c r="F36" s="143"/>
      <c r="G36" s="78">
        <v>0.5</v>
      </c>
      <c r="H36" s="31">
        <f t="shared" si="1"/>
        <v>3000</v>
      </c>
      <c r="J36" s="70"/>
      <c r="K36" s="70"/>
      <c r="L36" s="71"/>
    </row>
    <row r="37" spans="1:12" ht="23.25" customHeight="1" x14ac:dyDescent="0.2">
      <c r="A37" s="136">
        <v>9</v>
      </c>
      <c r="B37" s="138" t="s">
        <v>78</v>
      </c>
      <c r="C37" s="65" t="s">
        <v>3</v>
      </c>
      <c r="D37" s="65">
        <v>150</v>
      </c>
      <c r="E37" s="69">
        <v>55</v>
      </c>
      <c r="F37" s="105" t="s">
        <v>79</v>
      </c>
      <c r="G37" s="78">
        <v>0.5</v>
      </c>
      <c r="H37" s="69">
        <f t="shared" si="1"/>
        <v>4125</v>
      </c>
      <c r="J37" s="70"/>
      <c r="K37" s="70"/>
      <c r="L37" s="71"/>
    </row>
    <row r="38" spans="1:12" x14ac:dyDescent="0.2">
      <c r="A38" s="137"/>
      <c r="B38" s="139"/>
      <c r="C38" s="65" t="s">
        <v>4</v>
      </c>
      <c r="D38" s="65">
        <v>150</v>
      </c>
      <c r="E38" s="69">
        <v>40</v>
      </c>
      <c r="F38" s="106"/>
      <c r="G38" s="78">
        <v>0.5</v>
      </c>
      <c r="H38" s="69">
        <f t="shared" si="1"/>
        <v>3000</v>
      </c>
      <c r="J38" s="70"/>
      <c r="K38" s="70"/>
      <c r="L38" s="71"/>
    </row>
    <row r="39" spans="1:12" x14ac:dyDescent="0.2">
      <c r="A39" s="137"/>
      <c r="B39" s="139"/>
      <c r="C39" s="28" t="s">
        <v>65</v>
      </c>
      <c r="D39" s="28">
        <v>10</v>
      </c>
      <c r="E39" s="77">
        <v>55</v>
      </c>
      <c r="F39" s="140"/>
      <c r="G39" s="78">
        <v>0.5</v>
      </c>
      <c r="H39" s="77">
        <f t="shared" si="1"/>
        <v>275</v>
      </c>
      <c r="J39" s="70"/>
      <c r="K39" s="70"/>
      <c r="L39" s="71"/>
    </row>
    <row r="40" spans="1:12" x14ac:dyDescent="0.2">
      <c r="A40" s="141">
        <v>10</v>
      </c>
      <c r="B40" s="142" t="s">
        <v>80</v>
      </c>
      <c r="C40" s="65" t="s">
        <v>3</v>
      </c>
      <c r="D40" s="65">
        <v>75</v>
      </c>
      <c r="E40" s="69">
        <v>55</v>
      </c>
      <c r="F40" s="143" t="s">
        <v>81</v>
      </c>
      <c r="G40" s="78">
        <v>0.3</v>
      </c>
      <c r="H40" s="69">
        <f>SUM(D40*E40*G40)</f>
        <v>1237.5</v>
      </c>
      <c r="I40" s="70"/>
      <c r="J40" s="70"/>
      <c r="K40" s="71"/>
      <c r="L40" s="71"/>
    </row>
    <row r="41" spans="1:12" x14ac:dyDescent="0.2">
      <c r="A41" s="141"/>
      <c r="B41" s="142"/>
      <c r="C41" s="65" t="s">
        <v>4</v>
      </c>
      <c r="D41" s="65">
        <v>180</v>
      </c>
      <c r="E41" s="69">
        <v>40</v>
      </c>
      <c r="F41" s="143"/>
      <c r="G41" s="78">
        <v>0.3</v>
      </c>
      <c r="H41" s="69">
        <f t="shared" ref="H41" si="2">SUM(D41*E41*G41)</f>
        <v>2160</v>
      </c>
      <c r="J41" s="70"/>
      <c r="K41" s="70"/>
      <c r="L41" s="71"/>
    </row>
    <row r="42" spans="1:12" x14ac:dyDescent="0.2">
      <c r="A42" s="141"/>
      <c r="B42" s="142"/>
      <c r="C42" s="65" t="s">
        <v>65</v>
      </c>
      <c r="D42" s="65">
        <v>50</v>
      </c>
      <c r="E42" s="69">
        <v>55</v>
      </c>
      <c r="F42" s="143"/>
      <c r="G42" s="78">
        <v>0.3</v>
      </c>
      <c r="H42" s="69">
        <f>SUM(D42*E42*G42)</f>
        <v>825</v>
      </c>
      <c r="J42" s="70"/>
      <c r="K42" s="70"/>
      <c r="L42" s="71"/>
    </row>
    <row r="43" spans="1:12" ht="38.25" x14ac:dyDescent="0.2">
      <c r="A43" s="79">
        <v>11</v>
      </c>
      <c r="B43" s="65" t="s">
        <v>82</v>
      </c>
      <c r="C43" s="65" t="s">
        <v>4</v>
      </c>
      <c r="D43" s="65">
        <v>170</v>
      </c>
      <c r="E43" s="69">
        <v>40</v>
      </c>
      <c r="F43" s="73" t="s">
        <v>83</v>
      </c>
      <c r="G43" s="72">
        <v>0.27</v>
      </c>
      <c r="H43" s="69">
        <f>SUM(D43*E43*G43)</f>
        <v>1836.0000000000002</v>
      </c>
      <c r="I43" s="70"/>
      <c r="J43" s="70"/>
      <c r="K43" s="71"/>
      <c r="L43" s="71"/>
    </row>
    <row r="44" spans="1:12" ht="12.75" customHeight="1" x14ac:dyDescent="0.2">
      <c r="A44" s="110" t="s">
        <v>84</v>
      </c>
      <c r="B44" s="111"/>
      <c r="C44" s="111"/>
      <c r="D44" s="112"/>
      <c r="E44" s="124" t="s">
        <v>39</v>
      </c>
      <c r="F44" s="125"/>
      <c r="G44" s="126"/>
      <c r="H44" s="42">
        <f>SUM(H17:H43)</f>
        <v>108243.65</v>
      </c>
    </row>
    <row r="45" spans="1:12" x14ac:dyDescent="0.2">
      <c r="A45" s="115" t="s">
        <v>40</v>
      </c>
      <c r="B45" s="116"/>
      <c r="C45" s="116"/>
      <c r="D45" s="117"/>
      <c r="E45" s="127" t="s">
        <v>41</v>
      </c>
      <c r="F45" s="128"/>
      <c r="G45" s="129"/>
      <c r="H45" s="41">
        <f>+H44*0.09</f>
        <v>9741.9285</v>
      </c>
    </row>
    <row r="46" spans="1:12" x14ac:dyDescent="0.2">
      <c r="A46" s="130" t="s">
        <v>85</v>
      </c>
      <c r="B46" s="131"/>
      <c r="C46" s="131"/>
      <c r="D46" s="132"/>
      <c r="E46" s="124" t="s">
        <v>42</v>
      </c>
      <c r="F46" s="125"/>
      <c r="G46" s="126"/>
      <c r="H46" s="41">
        <f>+H44*0.09</f>
        <v>9741.9285</v>
      </c>
    </row>
    <row r="47" spans="1:12" ht="15" customHeight="1" x14ac:dyDescent="0.2">
      <c r="A47" s="133"/>
      <c r="B47" s="134"/>
      <c r="C47" s="134"/>
      <c r="D47" s="135"/>
      <c r="E47" s="124" t="s">
        <v>43</v>
      </c>
      <c r="F47" s="125"/>
      <c r="G47" s="126"/>
      <c r="H47" s="80">
        <f>+ROUND(SUM(H44:H46),0)</f>
        <v>127728</v>
      </c>
    </row>
    <row r="48" spans="1:12" ht="15.75" customHeight="1" x14ac:dyDescent="0.2">
      <c r="A48" s="45" t="s">
        <v>45</v>
      </c>
      <c r="B48" s="46"/>
      <c r="C48" s="46"/>
      <c r="D48" s="47"/>
      <c r="E48" s="48"/>
      <c r="F48" s="46"/>
      <c r="G48" s="46"/>
      <c r="H48" s="49"/>
    </row>
    <row r="49" spans="1:8" x14ac:dyDescent="0.2">
      <c r="A49" s="50"/>
      <c r="B49" s="51"/>
      <c r="C49" s="51"/>
      <c r="D49" s="52"/>
      <c r="E49" s="53" t="s">
        <v>46</v>
      </c>
      <c r="F49" s="51"/>
      <c r="G49" s="51"/>
      <c r="H49" s="14"/>
    </row>
    <row r="50" spans="1:8" x14ac:dyDescent="0.2">
      <c r="A50" s="19"/>
      <c r="D50" s="14"/>
      <c r="E50" s="19" t="s">
        <v>47</v>
      </c>
      <c r="H50" s="14"/>
    </row>
    <row r="51" spans="1:8" x14ac:dyDescent="0.2">
      <c r="A51" s="19"/>
      <c r="D51" s="14"/>
      <c r="E51" s="19" t="s">
        <v>48</v>
      </c>
      <c r="H51" s="14"/>
    </row>
    <row r="52" spans="1:8" x14ac:dyDescent="0.2">
      <c r="A52" s="19"/>
      <c r="D52" s="14"/>
      <c r="E52" s="19" t="s">
        <v>49</v>
      </c>
      <c r="H52" s="14"/>
    </row>
    <row r="53" spans="1:8" x14ac:dyDescent="0.2">
      <c r="A53" s="19"/>
      <c r="D53" s="14"/>
      <c r="E53" s="19" t="s">
        <v>50</v>
      </c>
      <c r="H53" s="14"/>
    </row>
    <row r="54" spans="1:8" x14ac:dyDescent="0.2">
      <c r="A54" s="54" t="s">
        <v>51</v>
      </c>
      <c r="B54" s="55"/>
      <c r="C54" s="55"/>
      <c r="D54" s="56"/>
      <c r="E54" s="54" t="s">
        <v>52</v>
      </c>
      <c r="F54" s="55"/>
      <c r="G54" s="55"/>
      <c r="H54" s="56"/>
    </row>
  </sheetData>
  <mergeCells count="38">
    <mergeCell ref="A8:H8"/>
    <mergeCell ref="E11:H13"/>
    <mergeCell ref="A14:H14"/>
    <mergeCell ref="E15:E16"/>
    <mergeCell ref="F15:F16"/>
    <mergeCell ref="G15:G16"/>
    <mergeCell ref="H15:H16"/>
    <mergeCell ref="A17:A20"/>
    <mergeCell ref="B17:B20"/>
    <mergeCell ref="F17:F20"/>
    <mergeCell ref="A21:A24"/>
    <mergeCell ref="B21:B24"/>
    <mergeCell ref="F21:F24"/>
    <mergeCell ref="A25:A26"/>
    <mergeCell ref="B25:B26"/>
    <mergeCell ref="F25:F26"/>
    <mergeCell ref="A27:A28"/>
    <mergeCell ref="B27:B28"/>
    <mergeCell ref="F27:F28"/>
    <mergeCell ref="A31:A34"/>
    <mergeCell ref="B31:B34"/>
    <mergeCell ref="F31:F34"/>
    <mergeCell ref="A35:A36"/>
    <mergeCell ref="B35:B36"/>
    <mergeCell ref="F35:F36"/>
    <mergeCell ref="A37:A39"/>
    <mergeCell ref="B37:B39"/>
    <mergeCell ref="F37:F39"/>
    <mergeCell ref="A40:A42"/>
    <mergeCell ref="B40:B42"/>
    <mergeCell ref="F40:F42"/>
    <mergeCell ref="A44:D44"/>
    <mergeCell ref="E44:G44"/>
    <mergeCell ref="A45:D45"/>
    <mergeCell ref="E45:G45"/>
    <mergeCell ref="A46:D47"/>
    <mergeCell ref="E46:G46"/>
    <mergeCell ref="E47:G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25" workbookViewId="0">
      <selection activeCell="J11" sqref="J11"/>
    </sheetView>
  </sheetViews>
  <sheetFormatPr defaultColWidth="9.140625" defaultRowHeight="12.75" x14ac:dyDescent="0.2"/>
  <cols>
    <col min="1" max="1" width="8" style="5" customWidth="1"/>
    <col min="2" max="3" width="11.28515625" style="5" customWidth="1"/>
    <col min="4" max="4" width="14.28515625" style="5" customWidth="1"/>
    <col min="5" max="5" width="10.7109375" style="5" customWidth="1"/>
    <col min="6" max="6" width="11" style="5" customWidth="1"/>
    <col min="7" max="7" width="7.42578125" style="5" bestFit="1" customWidth="1"/>
    <col min="8" max="8" width="13.5703125" style="5" customWidth="1"/>
    <col min="9" max="9" width="9.140625" style="5"/>
    <col min="10" max="12" width="10.42578125" style="5" bestFit="1" customWidth="1"/>
    <col min="13" max="16384" width="9.140625" style="5"/>
  </cols>
  <sheetData>
    <row r="1" spans="1:8" x14ac:dyDescent="0.2">
      <c r="B1" s="5" t="s">
        <v>10</v>
      </c>
    </row>
    <row r="8" spans="1:8" ht="21" x14ac:dyDescent="0.35">
      <c r="A8" s="84" t="s">
        <v>11</v>
      </c>
      <c r="B8" s="85"/>
      <c r="C8" s="85"/>
      <c r="D8" s="85"/>
      <c r="E8" s="86"/>
      <c r="F8" s="86"/>
      <c r="G8" s="86"/>
      <c r="H8" s="87"/>
    </row>
    <row r="9" spans="1:8" x14ac:dyDescent="0.2">
      <c r="A9" s="6" t="s">
        <v>86</v>
      </c>
      <c r="B9" s="7"/>
      <c r="C9" s="7"/>
      <c r="D9" s="8"/>
      <c r="E9" s="9" t="s">
        <v>13</v>
      </c>
      <c r="F9" s="10" t="s">
        <v>87</v>
      </c>
      <c r="G9" s="10"/>
      <c r="H9" s="11"/>
    </row>
    <row r="10" spans="1:8" x14ac:dyDescent="0.2">
      <c r="A10" s="12" t="s">
        <v>15</v>
      </c>
      <c r="B10" s="13"/>
      <c r="C10" s="13"/>
      <c r="D10" s="14"/>
      <c r="E10" s="15" t="s">
        <v>16</v>
      </c>
      <c r="F10" s="16"/>
      <c r="G10" s="16"/>
      <c r="H10" s="17"/>
    </row>
    <row r="11" spans="1:8" x14ac:dyDescent="0.2">
      <c r="A11" s="18" t="s">
        <v>17</v>
      </c>
      <c r="B11" s="13"/>
      <c r="C11" s="13"/>
      <c r="D11" s="14"/>
      <c r="E11" s="130" t="s">
        <v>18</v>
      </c>
      <c r="F11" s="131"/>
      <c r="G11" s="131"/>
      <c r="H11" s="132"/>
    </row>
    <row r="12" spans="1:8" x14ac:dyDescent="0.2">
      <c r="A12" s="19" t="s">
        <v>19</v>
      </c>
      <c r="D12" s="14"/>
      <c r="E12" s="133"/>
      <c r="F12" s="134"/>
      <c r="G12" s="134"/>
      <c r="H12" s="135"/>
    </row>
    <row r="13" spans="1:8" x14ac:dyDescent="0.2">
      <c r="A13" s="19" t="s">
        <v>20</v>
      </c>
      <c r="D13" s="14"/>
      <c r="E13" s="146"/>
      <c r="F13" s="147"/>
      <c r="G13" s="147"/>
      <c r="H13" s="148"/>
    </row>
    <row r="14" spans="1:8" ht="15" x14ac:dyDescent="0.25">
      <c r="A14" s="97" t="s">
        <v>60</v>
      </c>
      <c r="B14" s="98"/>
      <c r="C14" s="98"/>
      <c r="D14" s="98"/>
      <c r="E14" s="98"/>
      <c r="F14" s="98"/>
      <c r="G14" s="98"/>
      <c r="H14" s="99"/>
    </row>
    <row r="15" spans="1:8" x14ac:dyDescent="0.2">
      <c r="A15" s="60" t="s">
        <v>22</v>
      </c>
      <c r="B15" s="21" t="s">
        <v>23</v>
      </c>
      <c r="C15" s="22" t="s">
        <v>24</v>
      </c>
      <c r="D15" s="60" t="s">
        <v>25</v>
      </c>
      <c r="E15" s="100" t="s">
        <v>26</v>
      </c>
      <c r="F15" s="102" t="s">
        <v>27</v>
      </c>
      <c r="G15" s="102" t="s">
        <v>61</v>
      </c>
      <c r="H15" s="100" t="s">
        <v>28</v>
      </c>
    </row>
    <row r="16" spans="1:8" x14ac:dyDescent="0.2">
      <c r="A16" s="61" t="s">
        <v>29</v>
      </c>
      <c r="B16" s="24" t="s">
        <v>30</v>
      </c>
      <c r="C16" s="25"/>
      <c r="D16" s="61"/>
      <c r="E16" s="101"/>
      <c r="F16" s="103"/>
      <c r="G16" s="103"/>
      <c r="H16" s="101"/>
    </row>
    <row r="17" spans="1:12" x14ac:dyDescent="0.2">
      <c r="A17" s="141">
        <v>1</v>
      </c>
      <c r="B17" s="142" t="s">
        <v>62</v>
      </c>
      <c r="C17" s="65" t="s">
        <v>32</v>
      </c>
      <c r="D17" s="66">
        <v>260</v>
      </c>
      <c r="E17" s="67">
        <v>55</v>
      </c>
      <c r="F17" s="143" t="s">
        <v>88</v>
      </c>
      <c r="G17" s="68">
        <v>0.56999999999999995</v>
      </c>
      <c r="H17" s="69">
        <f>+D17*E17*G17</f>
        <v>8150.9999999999991</v>
      </c>
    </row>
    <row r="18" spans="1:12" x14ac:dyDescent="0.2">
      <c r="A18" s="141"/>
      <c r="B18" s="142"/>
      <c r="C18" s="65" t="s">
        <v>35</v>
      </c>
      <c r="D18" s="66">
        <v>400</v>
      </c>
      <c r="E18" s="67">
        <v>40</v>
      </c>
      <c r="F18" s="143"/>
      <c r="G18" s="68">
        <v>0.56999999999999995</v>
      </c>
      <c r="H18" s="69">
        <f t="shared" ref="H18:H20" si="0">+D18*E18*G18</f>
        <v>9120</v>
      </c>
      <c r="J18" s="70"/>
      <c r="K18" s="70"/>
      <c r="L18" s="71"/>
    </row>
    <row r="19" spans="1:12" x14ac:dyDescent="0.2">
      <c r="A19" s="141"/>
      <c r="B19" s="142"/>
      <c r="C19" s="65" t="s">
        <v>36</v>
      </c>
      <c r="D19" s="66">
        <v>80</v>
      </c>
      <c r="E19" s="67">
        <v>55</v>
      </c>
      <c r="F19" s="143"/>
      <c r="G19" s="68">
        <v>0.56999999999999995</v>
      </c>
      <c r="H19" s="69">
        <f t="shared" si="0"/>
        <v>2508</v>
      </c>
    </row>
    <row r="20" spans="1:12" x14ac:dyDescent="0.2">
      <c r="A20" s="141"/>
      <c r="B20" s="142"/>
      <c r="C20" s="65" t="s">
        <v>8</v>
      </c>
      <c r="D20" s="66">
        <v>28</v>
      </c>
      <c r="E20" s="67">
        <v>25</v>
      </c>
      <c r="F20" s="143"/>
      <c r="G20" s="68">
        <v>0.56999999999999995</v>
      </c>
      <c r="H20" s="69">
        <f t="shared" si="0"/>
        <v>398.99999999999994</v>
      </c>
    </row>
    <row r="21" spans="1:12" x14ac:dyDescent="0.2">
      <c r="A21" s="141">
        <v>2</v>
      </c>
      <c r="B21" s="142" t="s">
        <v>64</v>
      </c>
      <c r="C21" s="65" t="s">
        <v>3</v>
      </c>
      <c r="D21" s="66">
        <v>110</v>
      </c>
      <c r="E21" s="67">
        <v>55</v>
      </c>
      <c r="F21" s="143" t="s">
        <v>89</v>
      </c>
      <c r="G21" s="68">
        <v>1.5</v>
      </c>
      <c r="H21" s="69">
        <f t="shared" ref="H21:H29" si="1">SUM(D21*E21*G21)</f>
        <v>9075</v>
      </c>
      <c r="J21" s="70"/>
      <c r="K21" s="70"/>
      <c r="L21" s="71"/>
    </row>
    <row r="22" spans="1:12" x14ac:dyDescent="0.2">
      <c r="A22" s="141"/>
      <c r="B22" s="142"/>
      <c r="C22" s="65" t="s">
        <v>4</v>
      </c>
      <c r="D22" s="66">
        <v>200</v>
      </c>
      <c r="E22" s="67">
        <v>40</v>
      </c>
      <c r="F22" s="143"/>
      <c r="G22" s="68">
        <v>1.5</v>
      </c>
      <c r="H22" s="69">
        <f t="shared" si="1"/>
        <v>12000</v>
      </c>
    </row>
    <row r="23" spans="1:12" x14ac:dyDescent="0.2">
      <c r="A23" s="141"/>
      <c r="B23" s="142"/>
      <c r="C23" s="65" t="s">
        <v>65</v>
      </c>
      <c r="D23" s="66">
        <v>20</v>
      </c>
      <c r="E23" s="67">
        <v>55</v>
      </c>
      <c r="F23" s="143"/>
      <c r="G23" s="68">
        <v>1.5</v>
      </c>
      <c r="H23" s="69">
        <f t="shared" si="1"/>
        <v>1650</v>
      </c>
    </row>
    <row r="24" spans="1:12" x14ac:dyDescent="0.2">
      <c r="A24" s="141"/>
      <c r="B24" s="142"/>
      <c r="C24" s="65" t="s">
        <v>66</v>
      </c>
      <c r="D24" s="66">
        <v>12</v>
      </c>
      <c r="E24" s="67">
        <v>25</v>
      </c>
      <c r="F24" s="143"/>
      <c r="G24" s="68">
        <v>1.5</v>
      </c>
      <c r="H24" s="69">
        <f t="shared" si="1"/>
        <v>450</v>
      </c>
    </row>
    <row r="25" spans="1:12" x14ac:dyDescent="0.2">
      <c r="A25" s="141">
        <v>3</v>
      </c>
      <c r="B25" s="142" t="s">
        <v>67</v>
      </c>
      <c r="C25" s="65" t="s">
        <v>3</v>
      </c>
      <c r="D25" s="65">
        <v>150</v>
      </c>
      <c r="E25" s="69">
        <v>55</v>
      </c>
      <c r="F25" s="105" t="s">
        <v>90</v>
      </c>
      <c r="G25" s="72">
        <v>1.4</v>
      </c>
      <c r="H25" s="69">
        <f t="shared" si="1"/>
        <v>11550</v>
      </c>
      <c r="J25" s="70"/>
      <c r="K25" s="70"/>
      <c r="L25" s="71"/>
    </row>
    <row r="26" spans="1:12" ht="24" customHeight="1" x14ac:dyDescent="0.2">
      <c r="A26" s="141"/>
      <c r="B26" s="142"/>
      <c r="C26" s="65" t="s">
        <v>4</v>
      </c>
      <c r="D26" s="65">
        <v>276</v>
      </c>
      <c r="E26" s="69">
        <v>40</v>
      </c>
      <c r="F26" s="140"/>
      <c r="G26" s="72">
        <v>1.4</v>
      </c>
      <c r="H26" s="69">
        <f t="shared" si="1"/>
        <v>15455.999999999998</v>
      </c>
    </row>
    <row r="27" spans="1:12" ht="25.5" customHeight="1" x14ac:dyDescent="0.2">
      <c r="A27" s="141">
        <v>4</v>
      </c>
      <c r="B27" s="142" t="s">
        <v>68</v>
      </c>
      <c r="C27" s="65" t="s">
        <v>3</v>
      </c>
      <c r="D27" s="65">
        <v>50</v>
      </c>
      <c r="E27" s="69">
        <v>55</v>
      </c>
      <c r="F27" s="105" t="s">
        <v>91</v>
      </c>
      <c r="G27" s="72">
        <v>1.27</v>
      </c>
      <c r="H27" s="69">
        <f t="shared" si="1"/>
        <v>3492.5</v>
      </c>
      <c r="J27" s="70"/>
      <c r="K27" s="70"/>
      <c r="L27" s="71"/>
    </row>
    <row r="28" spans="1:12" x14ac:dyDescent="0.2">
      <c r="A28" s="141"/>
      <c r="B28" s="142"/>
      <c r="C28" s="65" t="s">
        <v>4</v>
      </c>
      <c r="D28" s="65">
        <v>96</v>
      </c>
      <c r="E28" s="69">
        <v>40</v>
      </c>
      <c r="F28" s="140"/>
      <c r="G28" s="72">
        <v>1.27</v>
      </c>
      <c r="H28" s="69">
        <f t="shared" si="1"/>
        <v>4876.8</v>
      </c>
    </row>
    <row r="29" spans="1:12" ht="38.25" x14ac:dyDescent="0.2">
      <c r="A29" s="66">
        <v>5</v>
      </c>
      <c r="B29" s="65" t="s">
        <v>69</v>
      </c>
      <c r="C29" s="65" t="s">
        <v>3</v>
      </c>
      <c r="D29" s="65">
        <v>40</v>
      </c>
      <c r="E29" s="69">
        <v>55</v>
      </c>
      <c r="F29" s="73" t="s">
        <v>92</v>
      </c>
      <c r="G29" s="72">
        <v>0.87</v>
      </c>
      <c r="H29" s="69">
        <f t="shared" si="1"/>
        <v>1914</v>
      </c>
      <c r="J29" s="70"/>
      <c r="K29" s="70"/>
      <c r="L29" s="71"/>
    </row>
    <row r="30" spans="1:12" x14ac:dyDescent="0.2">
      <c r="A30" s="39"/>
      <c r="B30" s="40"/>
      <c r="C30" s="33"/>
      <c r="D30" s="35"/>
      <c r="E30" s="32"/>
      <c r="F30" s="37"/>
      <c r="G30" s="81"/>
      <c r="H30" s="38"/>
    </row>
    <row r="31" spans="1:12" ht="12.75" customHeight="1" x14ac:dyDescent="0.2">
      <c r="A31" s="110" t="s">
        <v>84</v>
      </c>
      <c r="B31" s="111"/>
      <c r="C31" s="111"/>
      <c r="D31" s="112"/>
      <c r="E31" s="124" t="s">
        <v>39</v>
      </c>
      <c r="F31" s="125"/>
      <c r="G31" s="126"/>
      <c r="H31" s="42">
        <f>SUM(H17:H30)</f>
        <v>80642.3</v>
      </c>
    </row>
    <row r="32" spans="1:12" x14ac:dyDescent="0.2">
      <c r="A32" s="115" t="s">
        <v>40</v>
      </c>
      <c r="B32" s="116"/>
      <c r="C32" s="116"/>
      <c r="D32" s="117"/>
      <c r="E32" s="127" t="s">
        <v>41</v>
      </c>
      <c r="F32" s="128"/>
      <c r="G32" s="129"/>
      <c r="H32" s="41">
        <f>+H31*0.09</f>
        <v>7257.8069999999998</v>
      </c>
    </row>
    <row r="33" spans="1:8" x14ac:dyDescent="0.2">
      <c r="A33" s="130" t="s">
        <v>93</v>
      </c>
      <c r="B33" s="131"/>
      <c r="C33" s="131"/>
      <c r="D33" s="132"/>
      <c r="E33" s="124" t="s">
        <v>42</v>
      </c>
      <c r="F33" s="125"/>
      <c r="G33" s="126"/>
      <c r="H33" s="41">
        <f>+H31*0.09</f>
        <v>7257.8069999999998</v>
      </c>
    </row>
    <row r="34" spans="1:8" x14ac:dyDescent="0.2">
      <c r="A34" s="133"/>
      <c r="B34" s="134"/>
      <c r="C34" s="134"/>
      <c r="D34" s="135"/>
      <c r="E34" s="124" t="s">
        <v>43</v>
      </c>
      <c r="F34" s="125"/>
      <c r="G34" s="126"/>
      <c r="H34" s="80">
        <f>+ROUND(SUM(H31:H33),0)</f>
        <v>95158</v>
      </c>
    </row>
    <row r="35" spans="1:8" x14ac:dyDescent="0.2">
      <c r="A35" s="45" t="s">
        <v>45</v>
      </c>
      <c r="B35" s="46"/>
      <c r="C35" s="46"/>
      <c r="D35" s="47"/>
      <c r="E35" s="48"/>
      <c r="F35" s="46"/>
      <c r="G35" s="46"/>
      <c r="H35" s="49"/>
    </row>
    <row r="36" spans="1:8" x14ac:dyDescent="0.2">
      <c r="A36" s="50"/>
      <c r="B36" s="51"/>
      <c r="C36" s="51"/>
      <c r="D36" s="52"/>
      <c r="E36" s="53" t="s">
        <v>46</v>
      </c>
      <c r="F36" s="51"/>
      <c r="G36" s="51"/>
      <c r="H36" s="14"/>
    </row>
    <row r="37" spans="1:8" x14ac:dyDescent="0.2">
      <c r="A37" s="19"/>
      <c r="D37" s="14"/>
      <c r="E37" s="19" t="s">
        <v>47</v>
      </c>
      <c r="H37" s="14"/>
    </row>
    <row r="38" spans="1:8" x14ac:dyDescent="0.2">
      <c r="A38" s="19"/>
      <c r="D38" s="14"/>
      <c r="E38" s="19" t="s">
        <v>48</v>
      </c>
      <c r="H38" s="14"/>
    </row>
    <row r="39" spans="1:8" x14ac:dyDescent="0.2">
      <c r="A39" s="19"/>
      <c r="D39" s="14"/>
      <c r="E39" s="19" t="s">
        <v>49</v>
      </c>
      <c r="H39" s="14"/>
    </row>
    <row r="40" spans="1:8" x14ac:dyDescent="0.2">
      <c r="A40" s="19"/>
      <c r="D40" s="14"/>
      <c r="E40" s="19" t="s">
        <v>50</v>
      </c>
      <c r="H40" s="14"/>
    </row>
    <row r="41" spans="1:8" x14ac:dyDescent="0.2">
      <c r="A41" s="54" t="s">
        <v>51</v>
      </c>
      <c r="B41" s="55"/>
      <c r="C41" s="55"/>
      <c r="D41" s="56"/>
      <c r="E41" s="54" t="s">
        <v>52</v>
      </c>
      <c r="F41" s="55"/>
      <c r="G41" s="55"/>
      <c r="H41" s="56"/>
    </row>
  </sheetData>
  <mergeCells count="26">
    <mergeCell ref="A8:H8"/>
    <mergeCell ref="E11:H13"/>
    <mergeCell ref="A14:H14"/>
    <mergeCell ref="E15:E16"/>
    <mergeCell ref="F15:F16"/>
    <mergeCell ref="G15:G16"/>
    <mergeCell ref="H15:H16"/>
    <mergeCell ref="A17:A20"/>
    <mergeCell ref="B17:B20"/>
    <mergeCell ref="F17:F20"/>
    <mergeCell ref="A21:A24"/>
    <mergeCell ref="B21:B24"/>
    <mergeCell ref="F21:F24"/>
    <mergeCell ref="A25:A26"/>
    <mergeCell ref="B25:B26"/>
    <mergeCell ref="F25:F26"/>
    <mergeCell ref="A27:A28"/>
    <mergeCell ref="B27:B28"/>
    <mergeCell ref="F27:F28"/>
    <mergeCell ref="A31:D31"/>
    <mergeCell ref="E31:G31"/>
    <mergeCell ref="A32:D32"/>
    <mergeCell ref="E32:G32"/>
    <mergeCell ref="A33:D34"/>
    <mergeCell ref="E33:G33"/>
    <mergeCell ref="E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D &amp; R </vt:lpstr>
      <vt:lpstr>01</vt:lpstr>
      <vt:lpstr>51</vt:lpstr>
      <vt:lpstr>37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2026-08-03T14:40:16Z</dcterms:modified>
</cp:coreProperties>
</file>